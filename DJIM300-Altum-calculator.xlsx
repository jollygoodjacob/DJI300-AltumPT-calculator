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cob\Desktop\IoT4Ag\drone_calculator\"/>
    </mc:Choice>
  </mc:AlternateContent>
  <xr:revisionPtr revIDLastSave="0" documentId="13_ncr:1_{2A22603E-DF55-4225-A31B-39E103F34A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verage Calculator" sheetId="1" r:id="rId1"/>
    <sheet name="Sources &amp; Assumptions" sheetId="2" r:id="rId2"/>
    <sheet name="Shiny App 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0" i="1"/>
  <c r="B22" i="1" s="1"/>
  <c r="B23" i="1" s="1"/>
  <c r="B19" i="1"/>
  <c r="B21" i="1" s="1"/>
  <c r="B35" i="1" l="1"/>
  <c r="B24" i="1"/>
  <c r="B26" i="1" l="1"/>
  <c r="B27" i="1" s="1"/>
  <c r="B25" i="1"/>
  <c r="B31" i="1" s="1"/>
  <c r="B33" i="1" l="1"/>
  <c r="B32" i="1"/>
  <c r="B34" i="1"/>
  <c r="B29" i="1"/>
  <c r="B28" i="1"/>
</calcChain>
</file>

<file path=xl/sharedStrings.xml><?xml version="1.0" encoding="utf-8"?>
<sst xmlns="http://schemas.openxmlformats.org/spreadsheetml/2006/main" count="136" uniqueCount="124">
  <si>
    <t>DJI M300 + MicaSense Altum Coverage Calculator</t>
  </si>
  <si>
    <t>Edit blue cells only. Outputs update automatically, including capture count, storage, and area/hour.</t>
  </si>
  <si>
    <t>Mission Inputs</t>
  </si>
  <si>
    <t>Preset Scenarios</t>
  </si>
  <si>
    <t>Usable mapping time per flight</t>
  </si>
  <si>
    <t>min</t>
  </si>
  <si>
    <t>Time available for mapping, excluding takeoff/landing and reserve.</t>
  </si>
  <si>
    <t>Scenario</t>
  </si>
  <si>
    <t>Time (min)</t>
  </si>
  <si>
    <t>Speed (m/s)</t>
  </si>
  <si>
    <t>Front ovlp</t>
  </si>
  <si>
    <t>Side ovlp</t>
  </si>
  <si>
    <t>Requested mapping speed</t>
  </si>
  <si>
    <t>m/s</t>
  </si>
  <si>
    <t>Planned groundspeed during survey lines.</t>
  </si>
  <si>
    <t>Conservative</t>
  </si>
  <si>
    <t>Altitude AGL</t>
  </si>
  <si>
    <t>m</t>
  </si>
  <si>
    <t>Above-ground flight altitude.</t>
  </si>
  <si>
    <t>Moderate</t>
  </si>
  <si>
    <t>Altum horizontal FOV</t>
  </si>
  <si>
    <t>deg</t>
  </si>
  <si>
    <t>Official Altum value for AL06+ multispectral bands.</t>
  </si>
  <si>
    <t>Aggressive</t>
  </si>
  <si>
    <t>Altum vertical FOV</t>
  </si>
  <si>
    <t>Side overlap</t>
  </si>
  <si>
    <t>%</t>
  </si>
  <si>
    <t>Lateral overlap between adjacent flight lines.</t>
  </si>
  <si>
    <t>Scenarios reuse the Altum FOV and storage assumptions from the main input block.</t>
  </si>
  <si>
    <t>Front overlap</t>
  </si>
  <si>
    <t>Overlap between sequential images on a line.</t>
  </si>
  <si>
    <t>Camera minimum trigger interval</t>
  </si>
  <si>
    <t>sec</t>
  </si>
  <si>
    <t>Editable assumption; use your real integration setting if known.</t>
  </si>
  <si>
    <t>Turn / setup efficiency</t>
  </si>
  <si>
    <t>Net efficiency after turns, acceleration, and small gaps.</t>
  </si>
  <si>
    <t>Number of bands</t>
  </si>
  <si>
    <t>count</t>
  </si>
  <si>
    <t>Used to convert captures into total band images.</t>
  </si>
  <si>
    <t>Storage per capture</t>
  </si>
  <si>
    <t>MB</t>
  </si>
  <si>
    <t>Editable planning assumption for one Altum capture across all bands. Change if your workflow shows a different average file size.</t>
  </si>
  <si>
    <t>Derived Geometry &amp; Coverage</t>
  </si>
  <si>
    <t>Footprint Width</t>
  </si>
  <si>
    <t>Width of one image footprint on the ground.</t>
  </si>
  <si>
    <t>Footprint Height</t>
  </si>
  <si>
    <t>Height/length of one image footprint on the ground.</t>
  </si>
  <si>
    <t>Distance between track</t>
  </si>
  <si>
    <t>Footprint width adjusted for side overlap.</t>
  </si>
  <si>
    <t>Distance between capture</t>
  </si>
  <si>
    <t>Footprint height adjusted for front overlap.</t>
  </si>
  <si>
    <t>Max speed allowed by trigger</t>
  </si>
  <si>
    <t>Fastest speed that still preserves the selected front overlap.</t>
  </si>
  <si>
    <t>Actual mapping speed used</t>
  </si>
  <si>
    <t>Lower of requested speed and trigger-limited max speed.</t>
  </si>
  <si>
    <t>Time between capture</t>
  </si>
  <si>
    <t>seconds</t>
  </si>
  <si>
    <t>Time elapsed between captures at the actual mapping speed.</t>
  </si>
  <si>
    <t>Raw area rate</t>
  </si>
  <si>
    <t>m²/s</t>
  </si>
  <si>
    <t>Before turns/setup losses.</t>
  </si>
  <si>
    <t>Net area rate</t>
  </si>
  <si>
    <t>After turn/setup efficiency.</t>
  </si>
  <si>
    <t>Estimated area per flight</t>
  </si>
  <si>
    <t>ha</t>
  </si>
  <si>
    <t>Primary output: hectares per flight.</t>
  </si>
  <si>
    <t>km²</t>
  </si>
  <si>
    <t>Same result in square kilometers.</t>
  </si>
  <si>
    <t>Flight time</t>
  </si>
  <si>
    <t>duration</t>
  </si>
  <si>
    <t>Usable mapping time displayed as a duration.</t>
  </si>
  <si>
    <t>Number of captures</t>
  </si>
  <si>
    <t>captures</t>
  </si>
  <si>
    <t>Estimated captures collected during effective mapping time.</t>
  </si>
  <si>
    <t>Number of images (all bands)</t>
  </si>
  <si>
    <t>images</t>
  </si>
  <si>
    <t>Captures multiplied by the number of bands.</t>
  </si>
  <si>
    <t>Storage space requirement</t>
  </si>
  <si>
    <t>GB</t>
  </si>
  <si>
    <t>Estimated total storage using the planning assumption in B15.</t>
  </si>
  <si>
    <t>Area per hour</t>
  </si>
  <si>
    <t>acre/hr</t>
  </si>
  <si>
    <t>Net area rate converted to acres per hour.</t>
  </si>
  <si>
    <t>Trigger-limited?</t>
  </si>
  <si>
    <t>YES means the requested speed is too fast for the chosen overlap/trigger interval.</t>
  </si>
  <si>
    <t>Notes</t>
  </si>
  <si>
    <t>• Core estimate = actual mapping speed × effective line spacing × usable mapping time × efficiency.</t>
  </si>
  <si>
    <t>• Forward overlap affects the required trigger spacing and can cap the allowable speed.</t>
  </si>
  <si>
    <t>• Captures, image count, and storage are planning estimates and depend on actual mission behavior and file sizes.</t>
  </si>
  <si>
    <t>• This workbook is a planning estimator, not a warranty or flight-safety tool.</t>
  </si>
  <si>
    <t>Sources &amp; Model Notes</t>
  </si>
  <si>
    <t>Item</t>
  </si>
  <si>
    <t>Value / URL</t>
  </si>
  <si>
    <t>Use in model</t>
  </si>
  <si>
    <t>DJI M300 RTK max flight time</t>
  </si>
  <si>
    <t>https://www.dji.com/support/product/matrice-300</t>
  </si>
  <si>
    <t>Reference for platform endurance; workbook uses editable usable mapping time, not max flight time.</t>
  </si>
  <si>
    <t>DJI M300 RTK press / overview</t>
  </si>
  <si>
    <t>https://www.dji.com/newsroom/news/matrice-300-rtk-zenmuse-h20-series</t>
  </si>
  <si>
    <t>Secondary official reference to the 55 min max figure.</t>
  </si>
  <si>
    <t>MicaSense Altum integration guide</t>
  </si>
  <si>
    <t>https://support.micasense.com/hc/en-us/articles/360010025413-Altum-Integration-Guide</t>
  </si>
  <si>
    <t>Source for Altum FOV, resolution, and GSD values.</t>
  </si>
  <si>
    <t>Altum FOV used here</t>
  </si>
  <si>
    <t>HFOV 50.2°, VFOV 38.4° (AL06+ multispectral)</t>
  </si>
  <si>
    <t>Coverage formula</t>
  </si>
  <si>
    <t>Coverage = speed × effective line spacing × flight time × efficiency</t>
  </si>
  <si>
    <t>Main area estimator.</t>
  </si>
  <si>
    <t>Trigger constraint</t>
  </si>
  <si>
    <t>Max speed = required capture spacing / trigger interval</t>
  </si>
  <si>
    <t>Prevents overestimating area when front overlap is too high for the selected trigger interval.</t>
  </si>
  <si>
    <t>Storage assumption</t>
  </si>
  <si>
    <t>Default = 12.6 MB per Altum capture across all bands</t>
  </si>
  <si>
    <t>Editable workbook input in Coverage Calculator!B15 for storage planning.</t>
  </si>
  <si>
    <t>Band count assumption</t>
  </si>
  <si>
    <t>Default = 5 bands</t>
  </si>
  <si>
    <t>Editable workbook input in Coverage Calculator!B14.</t>
  </si>
  <si>
    <t>Important</t>
  </si>
  <si>
    <t>This is a geometric planning model. Real coverage depends on wind, turns, terrain following, speed limits, battery reserve, legal ceiling, camera integration, and image quality requirements.</t>
  </si>
  <si>
    <t>Included R Shiny App</t>
  </si>
  <si>
    <t>An app.R file is included alongside this workbook. It exposes the same inputs and formulas in a simple Shiny interface, including capture count, image count, storage, and area/hour outputs.</t>
  </si>
  <si>
    <t>To run locally: install.packages(c('shiny','bslib','scales')); then run shiny::runApp('app.R').</t>
  </si>
  <si>
    <t>The workbook is useful for offline planning and sharing; the Shiny app is useful when you want sliders, quick scenario testing, and nicer presentation.</t>
  </si>
  <si>
    <t>Loaded as editable defaults in Coverage Calculator!B8:B9.https://support.micasense.com/hc/en-us/articles/4419868608407-Altum-PT-Integration-Guide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</si>
</sst>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h]&quot; hours &quot;mm&quot; minutes&quot;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color rgb="FF666666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6" fillId="0" borderId="0" xfId="0" applyFont="1"/>
    <xf numFmtId="0" fontId="5" fillId="4" borderId="0" xfId="0" applyFont="1" applyFill="1" applyAlignment="1">
      <alignment vertical="top"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vertical="top" wrapText="1"/>
    </xf>
    <xf numFmtId="0" fontId="3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pane ySplit="4" topLeftCell="A5" activePane="bottomLeft" state="frozen"/>
      <selection pane="bottomLeft" activeCell="F21" sqref="F21"/>
    </sheetView>
  </sheetViews>
  <sheetFormatPr defaultRowHeight="15" x14ac:dyDescent="0.25"/>
  <cols>
    <col min="1" max="1" width="30" customWidth="1"/>
    <col min="2" max="2" width="16" customWidth="1"/>
    <col min="3" max="3" width="12" customWidth="1"/>
    <col min="4" max="4" width="62" customWidth="1"/>
    <col min="6" max="6" width="18" customWidth="1"/>
    <col min="7" max="10" width="12" customWidth="1"/>
  </cols>
  <sheetData>
    <row r="1" spans="1:10" ht="18.75" x14ac:dyDescent="0.3">
      <c r="A1" s="16" t="s">
        <v>0</v>
      </c>
      <c r="B1" s="17"/>
      <c r="C1" s="17"/>
      <c r="D1" s="17"/>
    </row>
    <row r="2" spans="1:10" x14ac:dyDescent="0.25">
      <c r="A2" s="21" t="s">
        <v>1</v>
      </c>
      <c r="B2" s="17"/>
      <c r="C2" s="17"/>
      <c r="D2" s="17"/>
    </row>
    <row r="4" spans="1:10" x14ac:dyDescent="0.25">
      <c r="A4" s="19" t="s">
        <v>2</v>
      </c>
      <c r="B4" s="17"/>
      <c r="C4" s="17"/>
      <c r="D4" s="17"/>
      <c r="F4" s="19" t="s">
        <v>3</v>
      </c>
      <c r="G4" s="17"/>
      <c r="H4" s="17"/>
      <c r="I4" s="17"/>
      <c r="J4" s="17"/>
    </row>
    <row r="5" spans="1:10" x14ac:dyDescent="0.25">
      <c r="A5" s="1" t="s">
        <v>4</v>
      </c>
      <c r="B5" s="2">
        <v>28</v>
      </c>
      <c r="C5" s="3" t="s">
        <v>5</v>
      </c>
      <c r="D5" s="1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x14ac:dyDescent="0.25">
      <c r="A6" s="1" t="s">
        <v>12</v>
      </c>
      <c r="B6" s="2">
        <v>10</v>
      </c>
      <c r="C6" s="3" t="s">
        <v>13</v>
      </c>
      <c r="D6" s="1" t="s">
        <v>14</v>
      </c>
      <c r="F6" s="5" t="s">
        <v>15</v>
      </c>
      <c r="G6" s="5">
        <v>28</v>
      </c>
      <c r="H6" s="5">
        <v>2.2000000000000002</v>
      </c>
      <c r="I6" s="6">
        <v>0.8</v>
      </c>
      <c r="J6" s="6">
        <v>0.8</v>
      </c>
    </row>
    <row r="7" spans="1:10" x14ac:dyDescent="0.25">
      <c r="A7" s="1" t="s">
        <v>16</v>
      </c>
      <c r="B7" s="2">
        <v>121.92</v>
      </c>
      <c r="C7" s="3" t="s">
        <v>17</v>
      </c>
      <c r="D7" s="1" t="s">
        <v>18</v>
      </c>
      <c r="F7" s="5" t="s">
        <v>19</v>
      </c>
      <c r="G7" s="5">
        <v>32</v>
      </c>
      <c r="H7" s="5">
        <v>5</v>
      </c>
      <c r="I7" s="6">
        <v>0.75</v>
      </c>
      <c r="J7" s="6">
        <v>0.7</v>
      </c>
    </row>
    <row r="8" spans="1:10" x14ac:dyDescent="0.25">
      <c r="A8" s="1" t="s">
        <v>20</v>
      </c>
      <c r="B8" s="7">
        <v>48</v>
      </c>
      <c r="C8" s="3" t="s">
        <v>21</v>
      </c>
      <c r="D8" s="1" t="s">
        <v>22</v>
      </c>
      <c r="F8" s="5" t="s">
        <v>23</v>
      </c>
      <c r="G8" s="5">
        <v>35</v>
      </c>
      <c r="H8" s="5">
        <v>10</v>
      </c>
      <c r="I8" s="6">
        <v>0.7</v>
      </c>
      <c r="J8" s="6">
        <v>0.65</v>
      </c>
    </row>
    <row r="9" spans="1:10" x14ac:dyDescent="0.25">
      <c r="A9" s="1" t="s">
        <v>24</v>
      </c>
      <c r="B9" s="7">
        <v>36.799999999999997</v>
      </c>
      <c r="C9" s="3" t="s">
        <v>21</v>
      </c>
      <c r="D9" s="1" t="s">
        <v>22</v>
      </c>
    </row>
    <row r="10" spans="1:10" x14ac:dyDescent="0.25">
      <c r="A10" s="1" t="s">
        <v>25</v>
      </c>
      <c r="B10" s="8">
        <v>0.8</v>
      </c>
      <c r="C10" s="3" t="s">
        <v>26</v>
      </c>
      <c r="D10" s="1" t="s">
        <v>27</v>
      </c>
      <c r="F10" s="20" t="s">
        <v>28</v>
      </c>
      <c r="G10" s="17"/>
      <c r="H10" s="17"/>
      <c r="I10" s="17"/>
      <c r="J10" s="17"/>
    </row>
    <row r="11" spans="1:10" x14ac:dyDescent="0.25">
      <c r="A11" s="1" t="s">
        <v>29</v>
      </c>
      <c r="B11" s="8">
        <v>0.8</v>
      </c>
      <c r="C11" s="3" t="s">
        <v>26</v>
      </c>
      <c r="D11" s="1" t="s">
        <v>30</v>
      </c>
    </row>
    <row r="12" spans="1:10" ht="30" x14ac:dyDescent="0.25">
      <c r="A12" s="1" t="s">
        <v>31</v>
      </c>
      <c r="B12" s="9">
        <v>1</v>
      </c>
      <c r="C12" s="3" t="s">
        <v>32</v>
      </c>
      <c r="D12" s="1" t="s">
        <v>33</v>
      </c>
    </row>
    <row r="13" spans="1:10" x14ac:dyDescent="0.25">
      <c r="A13" s="1" t="s">
        <v>34</v>
      </c>
      <c r="B13" s="8">
        <v>0.8</v>
      </c>
      <c r="C13" s="3" t="s">
        <v>26</v>
      </c>
      <c r="D13" s="1" t="s">
        <v>35</v>
      </c>
    </row>
    <row r="14" spans="1:10" x14ac:dyDescent="0.25">
      <c r="A14" s="1" t="s">
        <v>36</v>
      </c>
      <c r="B14" s="2">
        <v>5</v>
      </c>
      <c r="C14" s="3" t="s">
        <v>37</v>
      </c>
      <c r="D14" s="1" t="s">
        <v>38</v>
      </c>
    </row>
    <row r="15" spans="1:10" ht="30" x14ac:dyDescent="0.25">
      <c r="A15" s="1" t="s">
        <v>39</v>
      </c>
      <c r="B15" s="7">
        <v>31.2</v>
      </c>
      <c r="C15" s="3" t="s">
        <v>40</v>
      </c>
      <c r="D15" s="1" t="s">
        <v>41</v>
      </c>
    </row>
    <row r="18" spans="1:4" x14ac:dyDescent="0.25">
      <c r="A18" s="19" t="s">
        <v>42</v>
      </c>
      <c r="B18" s="17"/>
      <c r="C18" s="17"/>
      <c r="D18" s="17"/>
    </row>
    <row r="19" spans="1:4" x14ac:dyDescent="0.25">
      <c r="A19" s="1" t="s">
        <v>43</v>
      </c>
      <c r="B19" s="10">
        <f>2*$B$7*TAN(RADIANS($B$8/2))</f>
        <v>108.56456262563347</v>
      </c>
      <c r="C19" s="3" t="s">
        <v>17</v>
      </c>
      <c r="D19" s="1" t="s">
        <v>44</v>
      </c>
    </row>
    <row r="20" spans="1:4" x14ac:dyDescent="0.25">
      <c r="A20" s="1" t="s">
        <v>45</v>
      </c>
      <c r="B20" s="10">
        <f>2*$B$7*TAN(RADIANS($B$9/2))</f>
        <v>81.114771819121557</v>
      </c>
      <c r="C20" s="3" t="s">
        <v>17</v>
      </c>
      <c r="D20" s="1" t="s">
        <v>46</v>
      </c>
    </row>
    <row r="21" spans="1:4" x14ac:dyDescent="0.25">
      <c r="A21" s="1" t="s">
        <v>47</v>
      </c>
      <c r="B21" s="10">
        <f>B19*(1-$B$10)</f>
        <v>21.71291252512669</v>
      </c>
      <c r="C21" s="3" t="s">
        <v>17</v>
      </c>
      <c r="D21" s="1" t="s">
        <v>48</v>
      </c>
    </row>
    <row r="22" spans="1:4" x14ac:dyDescent="0.25">
      <c r="A22" s="1" t="s">
        <v>49</v>
      </c>
      <c r="B22" s="10">
        <f>B20*(1-$B$11)</f>
        <v>16.222954363824307</v>
      </c>
      <c r="C22" s="3" t="s">
        <v>17</v>
      </c>
      <c r="D22" s="1" t="s">
        <v>50</v>
      </c>
    </row>
    <row r="23" spans="1:4" x14ac:dyDescent="0.25">
      <c r="A23" s="1" t="s">
        <v>51</v>
      </c>
      <c r="B23" s="10">
        <f>IF($B$12=0,"",B22/$B$12)</f>
        <v>16.222954363824307</v>
      </c>
      <c r="C23" s="3" t="s">
        <v>13</v>
      </c>
      <c r="D23" s="1" t="s">
        <v>52</v>
      </c>
    </row>
    <row r="24" spans="1:4" x14ac:dyDescent="0.25">
      <c r="A24" s="1" t="s">
        <v>53</v>
      </c>
      <c r="B24" s="10">
        <f>MIN($B$6,B23)</f>
        <v>10</v>
      </c>
      <c r="C24" s="3" t="s">
        <v>13</v>
      </c>
      <c r="D24" s="1" t="s">
        <v>54</v>
      </c>
    </row>
    <row r="25" spans="1:4" x14ac:dyDescent="0.25">
      <c r="A25" s="1" t="s">
        <v>55</v>
      </c>
      <c r="B25" s="10">
        <f>IF(B24=0,"",B22/B24)</f>
        <v>1.6222954363824307</v>
      </c>
      <c r="C25" s="3" t="s">
        <v>56</v>
      </c>
      <c r="D25" s="1" t="s">
        <v>57</v>
      </c>
    </row>
    <row r="26" spans="1:4" x14ac:dyDescent="0.25">
      <c r="A26" s="1" t="s">
        <v>58</v>
      </c>
      <c r="B26" s="10">
        <f>B24*B21</f>
        <v>217.12912525126688</v>
      </c>
      <c r="C26" s="3" t="s">
        <v>59</v>
      </c>
      <c r="D26" s="1" t="s">
        <v>60</v>
      </c>
    </row>
    <row r="27" spans="1:4" x14ac:dyDescent="0.25">
      <c r="A27" s="1" t="s">
        <v>61</v>
      </c>
      <c r="B27" s="10">
        <f>B26*$B$13</f>
        <v>173.70330020101352</v>
      </c>
      <c r="C27" s="3" t="s">
        <v>59</v>
      </c>
      <c r="D27" s="1" t="s">
        <v>62</v>
      </c>
    </row>
    <row r="28" spans="1:4" x14ac:dyDescent="0.25">
      <c r="A28" s="1" t="s">
        <v>63</v>
      </c>
      <c r="B28" s="10">
        <f>B27*$B$5*60/10000</f>
        <v>29.182154433770275</v>
      </c>
      <c r="C28" s="3" t="s">
        <v>64</v>
      </c>
      <c r="D28" s="1" t="s">
        <v>65</v>
      </c>
    </row>
    <row r="29" spans="1:4" x14ac:dyDescent="0.25">
      <c r="A29" s="1" t="s">
        <v>63</v>
      </c>
      <c r="B29" s="10">
        <f>B27*$B$5*60/1000000</f>
        <v>0.29182154433770274</v>
      </c>
      <c r="C29" s="3" t="s">
        <v>66</v>
      </c>
      <c r="D29" s="1" t="s">
        <v>67</v>
      </c>
    </row>
    <row r="30" spans="1:4" x14ac:dyDescent="0.25">
      <c r="A30" s="1" t="s">
        <v>68</v>
      </c>
      <c r="B30" s="11">
        <f>B5/1440</f>
        <v>1.9444444444444445E-2</v>
      </c>
      <c r="C30" s="3" t="s">
        <v>69</v>
      </c>
      <c r="D30" s="1" t="s">
        <v>70</v>
      </c>
    </row>
    <row r="31" spans="1:4" x14ac:dyDescent="0.25">
      <c r="A31" s="1" t="s">
        <v>71</v>
      </c>
      <c r="B31" s="12">
        <f>IF(B25=0,"",($B$5*60*$B$13)/B25)</f>
        <v>828.45576080580986</v>
      </c>
      <c r="C31" s="3" t="s">
        <v>72</v>
      </c>
      <c r="D31" s="1" t="s">
        <v>73</v>
      </c>
    </row>
    <row r="32" spans="1:4" x14ac:dyDescent="0.25">
      <c r="A32" s="1" t="s">
        <v>74</v>
      </c>
      <c r="B32" s="12">
        <f>B31*$B$14</f>
        <v>4142.2788040290488</v>
      </c>
      <c r="C32" s="3" t="s">
        <v>75</v>
      </c>
      <c r="D32" s="1" t="s">
        <v>76</v>
      </c>
    </row>
    <row r="33" spans="1:4" x14ac:dyDescent="0.25">
      <c r="A33" s="1" t="s">
        <v>77</v>
      </c>
      <c r="B33" s="10">
        <f>B31*$B$15/1024</f>
        <v>25.24201146205202</v>
      </c>
      <c r="C33" s="3" t="s">
        <v>78</v>
      </c>
      <c r="D33" s="1" t="s">
        <v>79</v>
      </c>
    </row>
    <row r="34" spans="1:4" x14ac:dyDescent="0.25">
      <c r="A34" s="1" t="s">
        <v>80</v>
      </c>
      <c r="B34" s="10">
        <f>B27*3600/4046.8564224</f>
        <v>154.52287292979713</v>
      </c>
      <c r="C34" s="3" t="s">
        <v>81</v>
      </c>
      <c r="D34" s="1" t="s">
        <v>82</v>
      </c>
    </row>
    <row r="35" spans="1:4" ht="30" x14ac:dyDescent="0.25">
      <c r="A35" s="1" t="s">
        <v>83</v>
      </c>
      <c r="B35" s="3" t="str">
        <f>IF($B$6&gt;B23,"YES","NO")</f>
        <v>NO</v>
      </c>
      <c r="C35" s="3"/>
      <c r="D35" s="1" t="s">
        <v>84</v>
      </c>
    </row>
    <row r="36" spans="1:4" x14ac:dyDescent="0.25">
      <c r="A36" s="19" t="s">
        <v>85</v>
      </c>
      <c r="B36" s="17"/>
      <c r="C36" s="17"/>
      <c r="D36" s="17"/>
    </row>
    <row r="37" spans="1:4" x14ac:dyDescent="0.25">
      <c r="A37" s="18" t="s">
        <v>86</v>
      </c>
      <c r="B37" s="17"/>
      <c r="C37" s="17"/>
      <c r="D37" s="17"/>
    </row>
    <row r="38" spans="1:4" x14ac:dyDescent="0.25">
      <c r="A38" s="18" t="s">
        <v>87</v>
      </c>
      <c r="B38" s="17"/>
      <c r="C38" s="17"/>
      <c r="D38" s="17"/>
    </row>
    <row r="39" spans="1:4" x14ac:dyDescent="0.25">
      <c r="A39" s="18" t="s">
        <v>88</v>
      </c>
      <c r="B39" s="17"/>
      <c r="C39" s="17"/>
      <c r="D39" s="17"/>
    </row>
    <row r="40" spans="1:4" x14ac:dyDescent="0.25">
      <c r="A40" s="18" t="s">
        <v>89</v>
      </c>
      <c r="B40" s="17"/>
      <c r="C40" s="17"/>
      <c r="D40" s="17"/>
    </row>
  </sheetData>
  <mergeCells count="11">
    <mergeCell ref="F10:J10"/>
    <mergeCell ref="A38:D38"/>
    <mergeCell ref="A39:D39"/>
    <mergeCell ref="A2:D2"/>
    <mergeCell ref="A36:D36"/>
    <mergeCell ref="F4:J4"/>
    <mergeCell ref="A1:D1"/>
    <mergeCell ref="A37:D37"/>
    <mergeCell ref="A18:D18"/>
    <mergeCell ref="A40:D40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C14" sqref="C14"/>
    </sheetView>
  </sheetViews>
  <sheetFormatPr defaultRowHeight="15" x14ac:dyDescent="0.25"/>
  <cols>
    <col min="1" max="1" width="28" customWidth="1"/>
    <col min="2" max="2" width="55" customWidth="1"/>
    <col min="3" max="3" width="70" customWidth="1"/>
  </cols>
  <sheetData>
    <row r="1" spans="1:3" ht="17.25" x14ac:dyDescent="0.3">
      <c r="A1" s="14" t="s">
        <v>90</v>
      </c>
    </row>
    <row r="3" spans="1:3" x14ac:dyDescent="0.25">
      <c r="A3" s="15" t="s">
        <v>91</v>
      </c>
      <c r="B3" s="15" t="s">
        <v>92</v>
      </c>
      <c r="C3" s="15" t="s">
        <v>93</v>
      </c>
    </row>
    <row r="4" spans="1:3" ht="30" x14ac:dyDescent="0.25">
      <c r="A4" s="13" t="s">
        <v>94</v>
      </c>
      <c r="B4" s="13" t="s">
        <v>95</v>
      </c>
      <c r="C4" s="13" t="s">
        <v>96</v>
      </c>
    </row>
    <row r="5" spans="1:3" ht="30" x14ac:dyDescent="0.25">
      <c r="A5" s="13" t="s">
        <v>97</v>
      </c>
      <c r="B5" s="13" t="s">
        <v>98</v>
      </c>
      <c r="C5" s="13" t="s">
        <v>99</v>
      </c>
    </row>
    <row r="6" spans="1:3" ht="30" x14ac:dyDescent="0.25">
      <c r="A6" s="13" t="s">
        <v>100</v>
      </c>
      <c r="B6" s="13" t="s">
        <v>101</v>
      </c>
      <c r="C6" s="13" t="s">
        <v>102</v>
      </c>
    </row>
    <row r="7" spans="1:3" ht="45" x14ac:dyDescent="0.25">
      <c r="A7" s="13" t="s">
        <v>103</v>
      </c>
      <c r="B7" s="13" t="s">
        <v>104</v>
      </c>
      <c r="C7" s="13" t="s">
        <v>123</v>
      </c>
    </row>
    <row r="8" spans="1:3" ht="30" x14ac:dyDescent="0.25">
      <c r="A8" s="13" t="s">
        <v>105</v>
      </c>
      <c r="B8" s="13" t="s">
        <v>106</v>
      </c>
      <c r="C8" s="13" t="s">
        <v>107</v>
      </c>
    </row>
    <row r="9" spans="1:3" ht="30" x14ac:dyDescent="0.25">
      <c r="A9" s="13" t="s">
        <v>108</v>
      </c>
      <c r="B9" s="13" t="s">
        <v>109</v>
      </c>
      <c r="C9" s="13" t="s">
        <v>110</v>
      </c>
    </row>
    <row r="10" spans="1:3" x14ac:dyDescent="0.25">
      <c r="A10" s="13" t="s">
        <v>111</v>
      </c>
      <c r="B10" s="13" t="s">
        <v>112</v>
      </c>
      <c r="C10" s="13" t="s">
        <v>113</v>
      </c>
    </row>
    <row r="11" spans="1:3" x14ac:dyDescent="0.25">
      <c r="A11" s="13" t="s">
        <v>114</v>
      </c>
      <c r="B11" s="13" t="s">
        <v>115</v>
      </c>
      <c r="C11" s="13" t="s">
        <v>116</v>
      </c>
    </row>
    <row r="12" spans="1:3" ht="60" x14ac:dyDescent="0.25">
      <c r="A12" s="13" t="s">
        <v>117</v>
      </c>
      <c r="B12" s="13" t="s">
        <v>118</v>
      </c>
      <c r="C12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cols>
    <col min="1" max="1" width="120" customWidth="1"/>
  </cols>
  <sheetData>
    <row r="1" spans="1:1" ht="17.25" x14ac:dyDescent="0.3">
      <c r="A1" s="14" t="s">
        <v>119</v>
      </c>
    </row>
    <row r="3" spans="1:1" ht="30" x14ac:dyDescent="0.25">
      <c r="A3" s="13" t="s">
        <v>120</v>
      </c>
    </row>
    <row r="4" spans="1:1" x14ac:dyDescent="0.25">
      <c r="A4" s="13" t="s">
        <v>121</v>
      </c>
    </row>
    <row r="5" spans="1:1" ht="30" x14ac:dyDescent="0.25">
      <c r="A5" s="13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Coverage Calculator</vt:lpstr>
      <vt:lpstr>Sources &amp; Assumptions</vt:lpstr>
      <vt:lpstr>Shiny App 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Nesslage</cp:lastModifiedBy>
  <dcterms:created xsi:type="dcterms:W3CDTF">2026-03-18T17:20:05Z</dcterms:created>
  <dcterms:modified xsi:type="dcterms:W3CDTF">2026-03-18T18:25:44Z</dcterms:modified>
</cp:coreProperties>
</file>